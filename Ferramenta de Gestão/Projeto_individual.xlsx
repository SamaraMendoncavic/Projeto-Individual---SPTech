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.souza\Downloads\01. Samara Facul\"/>
    </mc:Choice>
  </mc:AlternateContent>
  <xr:revisionPtr revIDLastSave="0" documentId="8_{DBDA40F2-67BB-42FC-99F9-86AA2EC145EC}" xr6:coauthVersionLast="47" xr6:coauthVersionMax="47" xr10:uidLastSave="{00000000-0000-0000-0000-000000000000}"/>
  <bookViews>
    <workbookView xWindow="-108" yWindow="-108" windowWidth="23256" windowHeight="12456" xr2:uid="{4B91BCE8-4154-4F9C-8397-02BFF805D052}"/>
  </bookViews>
  <sheets>
    <sheet name="Backlog" sheetId="1" r:id="rId1"/>
    <sheet name="Lista - valida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13" i="2"/>
  <c r="M4" i="1"/>
  <c r="K5" i="1"/>
  <c r="K4" i="1"/>
  <c r="K3" i="1"/>
  <c r="L4" i="1" s="1"/>
  <c r="N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<sst xmlns="http://schemas.openxmlformats.org/spreadsheetml/2006/main" count="135" uniqueCount="58">
  <si>
    <t>REQUISITOS</t>
  </si>
  <si>
    <t>DESCRIÇÃO</t>
  </si>
  <si>
    <t>CLASSIFICAÇÃO</t>
  </si>
  <si>
    <t>TAMANHO</t>
  </si>
  <si>
    <t>TAM#</t>
  </si>
  <si>
    <t>PRIORIDADE</t>
  </si>
  <si>
    <t>SPRINT</t>
  </si>
  <si>
    <t>STATUS</t>
  </si>
  <si>
    <t>PONTOS FIBONACCI</t>
  </si>
  <si>
    <t>PLANEJADO</t>
  </si>
  <si>
    <t>ENTREGUE</t>
  </si>
  <si>
    <t>PENDENTE</t>
  </si>
  <si>
    <t>TOTAL</t>
  </si>
  <si>
    <t>SP3</t>
  </si>
  <si>
    <t>MÉDIA</t>
  </si>
  <si>
    <t>Documento do Projeto</t>
  </si>
  <si>
    <t>Planejamento no Trello</t>
  </si>
  <si>
    <t>Modelo Lógico e relacionamentos</t>
  </si>
  <si>
    <t>Algoritmos</t>
  </si>
  <si>
    <t xml:space="preserve">Variáveis, Funções, Operações Matemáticas, Condicionais, Repetições, Vetores </t>
  </si>
  <si>
    <t>Aplicação de cálculos matemáticos</t>
  </si>
  <si>
    <t>Arq. Computadores e Matemática</t>
  </si>
  <si>
    <t>Utilização de uma VM Linux contendo somente seu BD</t>
  </si>
  <si>
    <t>Pesquisa e Inovação</t>
  </si>
  <si>
    <t>Contexto, Planejamento, Dashboard e Indicadores</t>
  </si>
  <si>
    <t>Socioemocional</t>
  </si>
  <si>
    <t>aplicar os conceitos trabalhados em aula.</t>
  </si>
  <si>
    <t>Contexto - ONU</t>
  </si>
  <si>
    <t>Criar protótipo no figma</t>
  </si>
  <si>
    <t>Criar documentação do projeto</t>
  </si>
  <si>
    <t>Criar o ambiente de gestão no Trello para organização</t>
  </si>
  <si>
    <t>Uso do Git (governança)</t>
  </si>
  <si>
    <t>Criar repositório no GitHub para colocar todas versões do projeto</t>
  </si>
  <si>
    <t>Homepage do site institucional</t>
  </si>
  <si>
    <t>Criar a modelagem lógica do banco de dados</t>
  </si>
  <si>
    <t>Comandos SQL</t>
  </si>
  <si>
    <t>Utilizar comandos SQL para realização de análises</t>
  </si>
  <si>
    <t>Utilizar Máquina Virtual</t>
  </si>
  <si>
    <t>Utilizar as ODSs para criação e contexto do projeto</t>
  </si>
  <si>
    <t>Criar prototipagem no figma, para uma melhor vizualização de como ficará o site</t>
  </si>
  <si>
    <t xml:space="preserve">Colocar check de estrelas </t>
  </si>
  <si>
    <t>Como meio de avaliar os livros, com base nas suas leituras</t>
  </si>
  <si>
    <t>Conterá sobre a escritora, livros e sobre mim, sendo criado em Javascript, HTML e CSS</t>
  </si>
  <si>
    <t>Tela de login</t>
  </si>
  <si>
    <t xml:space="preserve">Criar a tela de login do site institucional </t>
  </si>
  <si>
    <t>Tela de Cadastro</t>
  </si>
  <si>
    <t xml:space="preserve">Criar a tela de cadastro do site institucional </t>
  </si>
  <si>
    <t>Página do Dashboard</t>
  </si>
  <si>
    <t>Desenvolver detalhes do painel de dados, incluindo quais métricas e indicadores (KPIs) serão exibidos</t>
  </si>
  <si>
    <t>PESO</t>
  </si>
  <si>
    <t>PP</t>
  </si>
  <si>
    <t>P</t>
  </si>
  <si>
    <t>M</t>
  </si>
  <si>
    <t>G</t>
  </si>
  <si>
    <t>GG</t>
  </si>
  <si>
    <t>ESSENCIAL</t>
  </si>
  <si>
    <t>DESEJÁVEL</t>
  </si>
  <si>
    <t>IMPORTANTE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</si>
</sst>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Entregas - Sprint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'Lista - validações'!$A$13</c:f>
              <c:strCache>
                <c:ptCount val="1"/>
                <c:pt idx="0">
                  <c:v>SP3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8C-4267-B254-4AFCA83085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8C-4267-B254-4AFCA830851E}"/>
              </c:ext>
            </c:extLst>
          </c:dPt>
          <c:cat>
            <c:strRef>
              <c:f>'Lista - validações'!$B$12:$C$12</c:f>
              <c:strCache>
                <c:ptCount val="2"/>
                <c:pt idx="0">
                  <c:v>PLANEJADO</c:v>
                </c:pt>
                <c:pt idx="1">
                  <c:v>ENTREGUE</c:v>
                </c:pt>
              </c:strCache>
            </c:strRef>
          </c:cat>
          <c:val>
            <c:numRef>
              <c:f>'Lista - validações'!$B$13:$C$13</c:f>
              <c:numCache>
                <c:formatCode>General</c:formatCode>
                <c:ptCount val="2"/>
                <c:pt idx="0">
                  <c:v>134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8C-4267-B254-4AFCA830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078511"/>
        <c:axId val="1885082351"/>
      </c:barChart>
      <c:catAx>
        <c:axId val="188507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082351"/>
        <c:crosses val="autoZero"/>
        <c:auto val="1"/>
        <c:lblAlgn val="ctr"/>
        <c:lblOffset val="100"/>
        <c:noMultiLvlLbl val="0"/>
      </c:catAx>
      <c:valAx>
        <c:axId val="18850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07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6</xdr:row>
      <xdr:rowOff>53340</xdr:rowOff>
    </xdr:from>
    <xdr:to>
      <xdr:col>14</xdr:col>
      <xdr:colOff>22860</xdr:colOff>
      <xdr:row>19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6D54C2-5FEC-42BF-A94C-C239A0E86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2253-8B76-40C0-8D59-F6F1F018CD3D}">
  <dimension ref="A1:N19"/>
  <sheetViews>
    <sheetView showGridLines="0" tabSelected="1" zoomScale="80" zoomScaleNormal="80" workbookViewId="0">
      <selection activeCell="O3" sqref="O3"/>
    </sheetView>
  </sheetViews>
  <sheetFormatPr defaultRowHeight="14.4" x14ac:dyDescent="0.3"/>
  <cols>
    <col min="1" max="1" width="29.88671875" bestFit="1" customWidth="1"/>
    <col min="2" max="2" width="83.21875" bestFit="1" customWidth="1"/>
    <col min="3" max="3" width="14.6640625" bestFit="1" customWidth="1"/>
    <col min="4" max="4" width="9.5546875" bestFit="1" customWidth="1"/>
    <col min="5" max="5" width="5.44140625" bestFit="1" customWidth="1"/>
    <col min="6" max="6" width="11.33203125" bestFit="1" customWidth="1"/>
    <col min="7" max="7" width="7.109375" bestFit="1" customWidth="1"/>
    <col min="8" max="8" width="9.88671875" bestFit="1" customWidth="1"/>
    <col min="10" max="10" width="6.21875" bestFit="1" customWidth="1"/>
    <col min="11" max="11" width="18.109375" bestFit="1" customWidth="1"/>
    <col min="12" max="12" width="10.77734375" bestFit="1" customWidth="1"/>
    <col min="13" max="14" width="9.88671875" bestFit="1" customWidth="1"/>
  </cols>
  <sheetData>
    <row r="1" spans="1:14" ht="58.8" customHeight="1" x14ac:dyDescent="0.3">
      <c r="A1" s="5"/>
      <c r="B1" s="6" t="e" vm="1">
        <v>#VALUE!</v>
      </c>
      <c r="C1" s="6"/>
      <c r="D1" s="6"/>
      <c r="E1" s="6"/>
      <c r="F1" s="6"/>
      <c r="G1" s="6"/>
      <c r="H1" s="14"/>
    </row>
    <row r="2" spans="1:14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J2" s="9"/>
      <c r="K2" s="11" t="s">
        <v>8</v>
      </c>
      <c r="L2" s="11" t="s">
        <v>9</v>
      </c>
      <c r="M2" s="11" t="s">
        <v>10</v>
      </c>
      <c r="N2" s="11" t="s">
        <v>11</v>
      </c>
    </row>
    <row r="3" spans="1:14" x14ac:dyDescent="0.3">
      <c r="A3" s="8" t="s">
        <v>15</v>
      </c>
      <c r="B3" s="8" t="s">
        <v>29</v>
      </c>
      <c r="C3" s="9" t="s">
        <v>55</v>
      </c>
      <c r="D3" s="9" t="s">
        <v>51</v>
      </c>
      <c r="E3" s="9">
        <v>5</v>
      </c>
      <c r="F3" s="9">
        <v>1</v>
      </c>
      <c r="G3" s="9" t="s">
        <v>13</v>
      </c>
      <c r="H3" s="9" t="s">
        <v>11</v>
      </c>
      <c r="J3" s="11" t="s">
        <v>12</v>
      </c>
      <c r="K3" s="9">
        <f>SUM(E3:E19)</f>
        <v>134</v>
      </c>
      <c r="L3" s="9"/>
      <c r="M3" s="9"/>
      <c r="N3" s="9"/>
    </row>
    <row r="4" spans="1:14" x14ac:dyDescent="0.3">
      <c r="A4" s="8" t="s">
        <v>16</v>
      </c>
      <c r="B4" s="8" t="s">
        <v>30</v>
      </c>
      <c r="C4" s="9" t="s">
        <v>55</v>
      </c>
      <c r="D4" s="9" t="s">
        <v>51</v>
      </c>
      <c r="E4" s="9">
        <v>5</v>
      </c>
      <c r="F4" s="9">
        <v>2</v>
      </c>
      <c r="G4" s="9" t="s">
        <v>13</v>
      </c>
      <c r="H4" s="9" t="s">
        <v>10</v>
      </c>
      <c r="J4" s="9" t="s">
        <v>13</v>
      </c>
      <c r="K4" s="9">
        <f>SUM(E3:E19)</f>
        <v>134</v>
      </c>
      <c r="L4" s="9">
        <f>K3</f>
        <v>134</v>
      </c>
      <c r="M4" s="9">
        <f>SUMIFS(E3:E19,H3:H19,$M$2,G3:G19,J4)</f>
        <v>26</v>
      </c>
      <c r="N4" s="9">
        <f>L4-M4</f>
        <v>108</v>
      </c>
    </row>
    <row r="5" spans="1:14" x14ac:dyDescent="0.3">
      <c r="A5" s="8" t="s">
        <v>31</v>
      </c>
      <c r="B5" s="8" t="s">
        <v>32</v>
      </c>
      <c r="C5" s="9" t="s">
        <v>55</v>
      </c>
      <c r="D5" s="9" t="s">
        <v>50</v>
      </c>
      <c r="E5" s="9">
        <v>3</v>
      </c>
      <c r="F5" s="9">
        <v>2</v>
      </c>
      <c r="G5" s="9" t="s">
        <v>13</v>
      </c>
      <c r="H5" s="9" t="s">
        <v>11</v>
      </c>
      <c r="J5" s="12" t="s">
        <v>14</v>
      </c>
      <c r="K5" s="13">
        <f>AVERAGE(E3:E19)</f>
        <v>7.882352941176471</v>
      </c>
      <c r="L5" s="9"/>
      <c r="M5" s="9"/>
      <c r="N5" s="9"/>
    </row>
    <row r="6" spans="1:14" x14ac:dyDescent="0.3">
      <c r="A6" s="8" t="s">
        <v>17</v>
      </c>
      <c r="B6" s="8" t="s">
        <v>34</v>
      </c>
      <c r="C6" s="9" t="s">
        <v>55</v>
      </c>
      <c r="D6" s="9" t="s">
        <v>52</v>
      </c>
      <c r="E6" s="9">
        <v>8</v>
      </c>
      <c r="F6" s="9">
        <v>1</v>
      </c>
      <c r="G6" s="9" t="s">
        <v>13</v>
      </c>
      <c r="H6" s="9" t="s">
        <v>10</v>
      </c>
    </row>
    <row r="7" spans="1:14" x14ac:dyDescent="0.3">
      <c r="A7" s="8" t="s">
        <v>35</v>
      </c>
      <c r="B7" s="10" t="s">
        <v>36</v>
      </c>
      <c r="C7" s="9" t="s">
        <v>55</v>
      </c>
      <c r="D7" s="9" t="s">
        <v>51</v>
      </c>
      <c r="E7" s="9">
        <v>5</v>
      </c>
      <c r="F7" s="9">
        <v>1</v>
      </c>
      <c r="G7" s="9" t="s">
        <v>13</v>
      </c>
      <c r="H7" s="9" t="s">
        <v>11</v>
      </c>
    </row>
    <row r="8" spans="1:14" x14ac:dyDescent="0.3">
      <c r="A8" s="8" t="s">
        <v>18</v>
      </c>
      <c r="B8" s="8" t="s">
        <v>19</v>
      </c>
      <c r="C8" s="9" t="s">
        <v>55</v>
      </c>
      <c r="D8" s="9" t="s">
        <v>51</v>
      </c>
      <c r="E8" s="9">
        <v>5</v>
      </c>
      <c r="F8" s="9">
        <v>1</v>
      </c>
      <c r="G8" s="9" t="s">
        <v>13</v>
      </c>
      <c r="H8" s="9" t="s">
        <v>11</v>
      </c>
    </row>
    <row r="9" spans="1:14" x14ac:dyDescent="0.3">
      <c r="A9" s="8" t="s">
        <v>20</v>
      </c>
      <c r="B9" s="8" t="s">
        <v>21</v>
      </c>
      <c r="C9" s="9" t="s">
        <v>55</v>
      </c>
      <c r="D9" s="9" t="s">
        <v>52</v>
      </c>
      <c r="E9" s="9">
        <v>8</v>
      </c>
      <c r="F9" s="9">
        <v>1</v>
      </c>
      <c r="G9" s="9" t="s">
        <v>13</v>
      </c>
      <c r="H9" s="9" t="s">
        <v>11</v>
      </c>
    </row>
    <row r="10" spans="1:14" x14ac:dyDescent="0.3">
      <c r="A10" s="8" t="s">
        <v>37</v>
      </c>
      <c r="B10" s="8" t="s">
        <v>22</v>
      </c>
      <c r="C10" s="9" t="s">
        <v>55</v>
      </c>
      <c r="D10" s="9" t="s">
        <v>52</v>
      </c>
      <c r="E10" s="9">
        <v>8</v>
      </c>
      <c r="F10" s="9">
        <v>1</v>
      </c>
      <c r="G10" s="9" t="s">
        <v>13</v>
      </c>
      <c r="H10" s="9" t="s">
        <v>11</v>
      </c>
    </row>
    <row r="11" spans="1:14" x14ac:dyDescent="0.3">
      <c r="A11" s="8" t="s">
        <v>23</v>
      </c>
      <c r="B11" s="8" t="s">
        <v>24</v>
      </c>
      <c r="C11" s="9" t="s">
        <v>55</v>
      </c>
      <c r="D11" s="9" t="s">
        <v>52</v>
      </c>
      <c r="E11" s="9">
        <v>8</v>
      </c>
      <c r="F11" s="9">
        <v>1</v>
      </c>
      <c r="G11" s="9" t="s">
        <v>13</v>
      </c>
      <c r="H11" s="9" t="s">
        <v>11</v>
      </c>
    </row>
    <row r="12" spans="1:14" x14ac:dyDescent="0.3">
      <c r="A12" s="8" t="s">
        <v>25</v>
      </c>
      <c r="B12" s="8" t="s">
        <v>26</v>
      </c>
      <c r="C12" s="9" t="s">
        <v>55</v>
      </c>
      <c r="D12" s="9" t="s">
        <v>53</v>
      </c>
      <c r="E12" s="9">
        <v>13</v>
      </c>
      <c r="F12" s="9">
        <v>1</v>
      </c>
      <c r="G12" s="9" t="s">
        <v>13</v>
      </c>
      <c r="H12" s="9" t="s">
        <v>11</v>
      </c>
    </row>
    <row r="13" spans="1:14" x14ac:dyDescent="0.3">
      <c r="A13" s="8" t="s">
        <v>27</v>
      </c>
      <c r="B13" s="8" t="s">
        <v>38</v>
      </c>
      <c r="C13" s="9" t="s">
        <v>55</v>
      </c>
      <c r="D13" s="9" t="s">
        <v>52</v>
      </c>
      <c r="E13" s="9">
        <v>8</v>
      </c>
      <c r="F13" s="9">
        <v>1</v>
      </c>
      <c r="G13" s="9" t="s">
        <v>13</v>
      </c>
      <c r="H13" s="9" t="s">
        <v>11</v>
      </c>
    </row>
    <row r="14" spans="1:14" x14ac:dyDescent="0.3">
      <c r="A14" s="8" t="s">
        <v>28</v>
      </c>
      <c r="B14" s="8" t="s">
        <v>39</v>
      </c>
      <c r="C14" s="9" t="s">
        <v>57</v>
      </c>
      <c r="D14" s="9" t="s">
        <v>53</v>
      </c>
      <c r="E14" s="9">
        <v>13</v>
      </c>
      <c r="F14" s="9">
        <v>2</v>
      </c>
      <c r="G14" s="9" t="s">
        <v>13</v>
      </c>
      <c r="H14" s="9" t="s">
        <v>10</v>
      </c>
    </row>
    <row r="15" spans="1:14" x14ac:dyDescent="0.3">
      <c r="A15" s="8" t="s">
        <v>40</v>
      </c>
      <c r="B15" s="8" t="s">
        <v>41</v>
      </c>
      <c r="C15" s="9" t="s">
        <v>56</v>
      </c>
      <c r="D15" s="9" t="s">
        <v>52</v>
      </c>
      <c r="E15" s="9">
        <v>8</v>
      </c>
      <c r="F15" s="9">
        <v>1</v>
      </c>
      <c r="G15" s="9" t="s">
        <v>13</v>
      </c>
      <c r="H15" s="9" t="s">
        <v>11</v>
      </c>
    </row>
    <row r="16" spans="1:14" x14ac:dyDescent="0.3">
      <c r="A16" s="8" t="s">
        <v>33</v>
      </c>
      <c r="B16" s="8" t="s">
        <v>42</v>
      </c>
      <c r="C16" s="9" t="s">
        <v>55</v>
      </c>
      <c r="D16" s="9" t="s">
        <v>52</v>
      </c>
      <c r="E16" s="9">
        <v>8</v>
      </c>
      <c r="F16" s="9">
        <v>1</v>
      </c>
      <c r="G16" s="9" t="s">
        <v>13</v>
      </c>
      <c r="H16" s="9" t="s">
        <v>11</v>
      </c>
    </row>
    <row r="17" spans="1:8" x14ac:dyDescent="0.3">
      <c r="A17" s="8" t="s">
        <v>43</v>
      </c>
      <c r="B17" s="8" t="s">
        <v>44</v>
      </c>
      <c r="C17" s="9" t="s">
        <v>55</v>
      </c>
      <c r="D17" s="9" t="s">
        <v>52</v>
      </c>
      <c r="E17" s="9">
        <v>8</v>
      </c>
      <c r="F17" s="9">
        <v>1</v>
      </c>
      <c r="G17" s="9" t="s">
        <v>13</v>
      </c>
      <c r="H17" s="9" t="s">
        <v>11</v>
      </c>
    </row>
    <row r="18" spans="1:8" x14ac:dyDescent="0.3">
      <c r="A18" s="8" t="s">
        <v>45</v>
      </c>
      <c r="B18" s="8" t="s">
        <v>46</v>
      </c>
      <c r="C18" s="9" t="s">
        <v>55</v>
      </c>
      <c r="D18" s="9" t="s">
        <v>52</v>
      </c>
      <c r="E18" s="9">
        <v>8</v>
      </c>
      <c r="F18" s="9">
        <v>1</v>
      </c>
      <c r="G18" s="9" t="s">
        <v>13</v>
      </c>
      <c r="H18" s="9" t="s">
        <v>11</v>
      </c>
    </row>
    <row r="19" spans="1:8" x14ac:dyDescent="0.3">
      <c r="A19" s="8" t="s">
        <v>47</v>
      </c>
      <c r="B19" s="8" t="s">
        <v>48</v>
      </c>
      <c r="C19" s="9" t="s">
        <v>55</v>
      </c>
      <c r="D19" s="9" t="s">
        <v>53</v>
      </c>
      <c r="E19" s="9">
        <v>13</v>
      </c>
      <c r="F19" s="9">
        <v>1</v>
      </c>
      <c r="G19" s="9" t="s">
        <v>13</v>
      </c>
      <c r="H19" s="9" t="s">
        <v>11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836252-CE94-403B-B549-33CCC4A20D8F}">
          <x14:formula1>
            <xm:f>'Lista - validações'!$D$2:$D$4</xm:f>
          </x14:formula1>
          <xm:sqref>C3:C19</xm:sqref>
        </x14:dataValidation>
        <x14:dataValidation type="list" allowBlank="1" showInputMessage="1" showErrorMessage="1" xr:uid="{E39DFC15-6FA5-4606-984F-ED71855C8F12}">
          <x14:formula1>
            <xm:f>'Lista - validações'!$A$2:$A$6</xm:f>
          </x14:formula1>
          <xm:sqref>D3:D19</xm:sqref>
        </x14:dataValidation>
        <x14:dataValidation type="list" allowBlank="1" showInputMessage="1" showErrorMessage="1" xr:uid="{CF06C3B4-7BDA-47D8-8D15-B05376E3BD1D}">
          <x14:formula1>
            <xm:f>'Lista - validações'!$B$2:$B$6</xm:f>
          </x14:formula1>
          <xm:sqref>E3:E19</xm:sqref>
        </x14:dataValidation>
        <x14:dataValidation type="list" allowBlank="1" showInputMessage="1" showErrorMessage="1" xr:uid="{EBCF3D4B-D89A-4319-9C00-A152BBA111BB}">
          <x14:formula1>
            <xm:f>'Lista - validações'!$C$2:$C$3</xm:f>
          </x14:formula1>
          <xm:sqref>H3:H19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0071-91A7-4349-83C9-47D438E8A0D3}">
  <dimension ref="A1:D13"/>
  <sheetViews>
    <sheetView topLeftCell="A2" workbookViewId="0">
      <selection activeCell="R19" sqref="R19"/>
    </sheetView>
  </sheetViews>
  <sheetFormatPr defaultRowHeight="14.4" x14ac:dyDescent="0.3"/>
  <cols>
    <col min="1" max="1" width="9.5546875" bestFit="1" customWidth="1"/>
    <col min="2" max="2" width="10.77734375" bestFit="1" customWidth="1"/>
    <col min="3" max="3" width="9.88671875" bestFit="1" customWidth="1"/>
    <col min="4" max="4" width="14.6640625" bestFit="1" customWidth="1"/>
  </cols>
  <sheetData>
    <row r="1" spans="1:4" x14ac:dyDescent="0.3">
      <c r="A1" s="3" t="s">
        <v>3</v>
      </c>
      <c r="B1" s="3" t="s">
        <v>49</v>
      </c>
      <c r="C1" s="3" t="s">
        <v>7</v>
      </c>
      <c r="D1" s="3" t="s">
        <v>2</v>
      </c>
    </row>
    <row r="2" spans="1:4" x14ac:dyDescent="0.3">
      <c r="A2" s="4" t="s">
        <v>50</v>
      </c>
      <c r="B2" s="4">
        <v>3</v>
      </c>
      <c r="C2" s="4" t="s">
        <v>10</v>
      </c>
      <c r="D2" s="1" t="s">
        <v>55</v>
      </c>
    </row>
    <row r="3" spans="1:4" x14ac:dyDescent="0.3">
      <c r="A3" s="4" t="s">
        <v>51</v>
      </c>
      <c r="B3" s="4">
        <v>5</v>
      </c>
      <c r="C3" s="4" t="s">
        <v>11</v>
      </c>
      <c r="D3" s="1" t="s">
        <v>56</v>
      </c>
    </row>
    <row r="4" spans="1:4" x14ac:dyDescent="0.3">
      <c r="A4" s="4" t="s">
        <v>52</v>
      </c>
      <c r="B4" s="4">
        <v>8</v>
      </c>
      <c r="C4" s="4"/>
      <c r="D4" s="1" t="s">
        <v>57</v>
      </c>
    </row>
    <row r="5" spans="1:4" x14ac:dyDescent="0.3">
      <c r="A5" s="4" t="s">
        <v>53</v>
      </c>
      <c r="B5" s="4">
        <v>13</v>
      </c>
      <c r="C5" s="4"/>
      <c r="D5" s="1"/>
    </row>
    <row r="6" spans="1:4" x14ac:dyDescent="0.3">
      <c r="A6" s="4" t="s">
        <v>54</v>
      </c>
      <c r="B6" s="4">
        <v>21</v>
      </c>
      <c r="C6" s="4"/>
      <c r="D6" s="1"/>
    </row>
    <row r="7" spans="1:4" x14ac:dyDescent="0.3">
      <c r="A7" s="1"/>
      <c r="B7" s="1"/>
      <c r="C7" s="1"/>
      <c r="D7" s="1"/>
    </row>
    <row r="12" spans="1:4" x14ac:dyDescent="0.3">
      <c r="A12" s="7" t="s">
        <v>12</v>
      </c>
      <c r="B12" s="7" t="s">
        <v>9</v>
      </c>
      <c r="C12" s="7" t="s">
        <v>10</v>
      </c>
    </row>
    <row r="13" spans="1:4" x14ac:dyDescent="0.3">
      <c r="A13" s="2" t="s">
        <v>13</v>
      </c>
      <c r="B13" s="2">
        <f>Backlog!L4</f>
        <v>134</v>
      </c>
      <c r="C13" s="2">
        <f>Backlog!M4</f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Lista - validações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Daniel Oliveira Souza da Silva</dc:creator>
  <cp:lastModifiedBy>Wesley Daniel Oliveira Souza da Silva</cp:lastModifiedBy>
  <dcterms:created xsi:type="dcterms:W3CDTF">2025-11-09T21:55:04Z</dcterms:created>
  <dcterms:modified xsi:type="dcterms:W3CDTF">2025-11-09T22:43:25Z</dcterms:modified>
</cp:coreProperties>
</file>