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ar\Downloads\Projeto-Individual---SPTech\Ferramenta de Gestão\"/>
    </mc:Choice>
  </mc:AlternateContent>
  <xr:revisionPtr revIDLastSave="0" documentId="8_{2F83EFCD-262E-4E15-B988-90FA1B7B328A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acklog" sheetId="1" r:id="rId1"/>
    <sheet name="Lista - validaçõ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2" l="1"/>
  <c r="C15" i="2"/>
  <c r="C16" i="2"/>
  <c r="C13" i="2"/>
  <c r="B14" i="2"/>
  <c r="B15" i="2"/>
  <c r="B16" i="2"/>
  <c r="B13" i="2"/>
  <c r="O5" i="1"/>
  <c r="O6" i="1"/>
  <c r="O7" i="1"/>
  <c r="O4" i="1"/>
  <c r="N5" i="1"/>
  <c r="N6" i="1"/>
  <c r="N7" i="1"/>
  <c r="N4" i="1"/>
  <c r="M5" i="1"/>
  <c r="M6" i="1"/>
  <c r="M7" i="1"/>
  <c r="M4" i="1"/>
  <c r="L5" i="1"/>
  <c r="L6" i="1"/>
  <c r="L7" i="1"/>
  <c r="L4" i="1"/>
  <c r="L3" i="1" l="1"/>
</calcChain>
</file>

<file path=xl/sharedStrings.xml><?xml version="1.0" encoding="utf-8"?>
<sst xmlns="http://schemas.openxmlformats.org/spreadsheetml/2006/main" count="158" uniqueCount="62">
  <si>
    <t>REQUISITOS</t>
  </si>
  <si>
    <t>DESCRIÇÃO</t>
  </si>
  <si>
    <t>CLASSIFICAÇÃO</t>
  </si>
  <si>
    <t>TAMANHO</t>
  </si>
  <si>
    <t>TAM#</t>
  </si>
  <si>
    <t>PRIORIDADE</t>
  </si>
  <si>
    <t>SPRINT</t>
  </si>
  <si>
    <t>STATUS</t>
  </si>
  <si>
    <t>PONTOS FIBONACCI</t>
  </si>
  <si>
    <t>PLANEJADO</t>
  </si>
  <si>
    <t>ENTREGUE</t>
  </si>
  <si>
    <t>PENDENTE</t>
  </si>
  <si>
    <t>Documento do Projeto</t>
  </si>
  <si>
    <t>Criar documentação do projeto</t>
  </si>
  <si>
    <t>ESSENCIAL</t>
  </si>
  <si>
    <t>P</t>
  </si>
  <si>
    <t>SP3</t>
  </si>
  <si>
    <t>TOTAL</t>
  </si>
  <si>
    <t>Planejamento no Trello</t>
  </si>
  <si>
    <t>Criar o ambiente de gestão no Trello para organização</t>
  </si>
  <si>
    <t>Uso do Git (governança)</t>
  </si>
  <si>
    <t>Criar repositório no GitHub para colocar todas versões do projeto</t>
  </si>
  <si>
    <t>PP</t>
  </si>
  <si>
    <t>Modelo Lógico e relacionamentos</t>
  </si>
  <si>
    <t>Criar a modelagem lógica do banco de dados</t>
  </si>
  <si>
    <t>M</t>
  </si>
  <si>
    <t>Comandos SQL</t>
  </si>
  <si>
    <t>Utilizar comandos SQL para realização de análises</t>
  </si>
  <si>
    <t>Algoritmos</t>
  </si>
  <si>
    <t xml:space="preserve">Variáveis, Funções, Operações Matemáticas, Condicionais, Repetições, Vetores </t>
  </si>
  <si>
    <t>Aplicação de cálculos matemáticos</t>
  </si>
  <si>
    <t>Arq. Computadores e Matemática</t>
  </si>
  <si>
    <t>Utilizar Máquina Virtual</t>
  </si>
  <si>
    <t>Utilização de uma VM Linux contendo somente seu BD</t>
  </si>
  <si>
    <t>Pesquisa e Inovação</t>
  </si>
  <si>
    <t>Contexto, Planejamento, Dashboard e Indicadores</t>
  </si>
  <si>
    <t>Socioemocional</t>
  </si>
  <si>
    <t>aplicar os conceitos trabalhados em aula.</t>
  </si>
  <si>
    <t>G</t>
  </si>
  <si>
    <t>Contexto - ONU</t>
  </si>
  <si>
    <t>Utilizar as ODSs para criação e contexto do projeto</t>
  </si>
  <si>
    <t>Criar protótipo no figma</t>
  </si>
  <si>
    <t>Criar prototipagem no figma, para uma melhor vizualização de como ficará o site</t>
  </si>
  <si>
    <t>IMPORTANTE</t>
  </si>
  <si>
    <t xml:space="preserve">Colocar check de estrelas </t>
  </si>
  <si>
    <t>Como meio de avaliar os livros, com base nas suas leituras</t>
  </si>
  <si>
    <t>DESEJÁVEL</t>
  </si>
  <si>
    <t>Homepage do site institucional</t>
  </si>
  <si>
    <t>Conterá sobre a escritora, livros e sobre mim, sendo criado em Javascript, HTML e CSS</t>
  </si>
  <si>
    <t>Tela de login</t>
  </si>
  <si>
    <t xml:space="preserve">Criar a tela de login do site institucional </t>
  </si>
  <si>
    <t>Tela de Cadastro</t>
  </si>
  <si>
    <t xml:space="preserve">Criar a tela de cadastro do site institucional </t>
  </si>
  <si>
    <t>Página do Dashboard</t>
  </si>
  <si>
    <t>Desenvolver detalhes do painel de dados, incluindo quais métricas e indicadores (KPIs) serão exibidos</t>
  </si>
  <si>
    <t>PESO</t>
  </si>
  <si>
    <t>GG</t>
  </si>
  <si>
    <t>SEMANA</t>
  </si>
  <si>
    <t>Semana 1</t>
  </si>
  <si>
    <t>Semana 2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</si>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</sst>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sz val="8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E59EDD"/>
        <bgColor rgb="FFCC99FF"/>
      </patternFill>
    </fill>
    <fill>
      <patternFill patternType="solid">
        <fgColor rgb="FFF2CFEE"/>
        <bgColor rgb="FFD9D9D9"/>
      </patternFill>
    </fill>
  </fills>
  <borders count="3">
    <border>
      <left/>
      <right/>
      <top/>
      <bottom/>
      <diagonal/>
    </border>
    <border>
      <left/>
      <right style="thin">
        <color rgb="FFE59EDD"/>
      </right>
      <top/>
      <bottom/>
      <diagonal/>
    </border>
    <border>
      <left style="thin">
        <color rgb="FFE59EDD"/>
      </left>
      <right style="thin">
        <color rgb="FFE59EDD"/>
      </right>
      <top style="thin">
        <color rgb="FFE59EDD"/>
      </top>
      <bottom style="thin">
        <color rgb="FFE59EDD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2" xfId="0" applyBorder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F2CFE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E59EDD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Entregas -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'Lista - validações'!$B$12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'Lista - validações'!$A$13:$A$16</c:f>
              <c:strCache>
                <c:ptCount val="4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</c:strCache>
            </c:strRef>
          </c:cat>
          <c:val>
            <c:numRef>
              <c:f>'Lista - validações'!$B$13:$B$16</c:f>
              <c:numCache>
                <c:formatCode>General</c:formatCode>
                <c:ptCount val="4"/>
                <c:pt idx="0">
                  <c:v>21</c:v>
                </c:pt>
                <c:pt idx="1">
                  <c:v>34</c:v>
                </c:pt>
                <c:pt idx="2">
                  <c:v>50</c:v>
                </c:pt>
                <c:pt idx="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CC-4C1F-9F67-E97429400971}"/>
            </c:ext>
          </c:extLst>
        </c:ser>
        <c:ser>
          <c:idx val="1"/>
          <c:order val="1"/>
          <c:tx>
            <c:strRef>
              <c:f>'Lista - validações'!$C$12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'Lista - validações'!$A$13:$A$16</c:f>
              <c:strCache>
                <c:ptCount val="4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</c:strCache>
            </c:strRef>
          </c:cat>
          <c:val>
            <c:numRef>
              <c:f>'Lista - validações'!$C$13:$C$16</c:f>
              <c:numCache>
                <c:formatCode>General</c:formatCode>
                <c:ptCount val="4"/>
                <c:pt idx="0">
                  <c:v>21</c:v>
                </c:pt>
                <c:pt idx="1">
                  <c:v>34</c:v>
                </c:pt>
                <c:pt idx="2">
                  <c:v>50</c:v>
                </c:pt>
                <c:pt idx="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CC-4C1F-9F67-E97429400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447616"/>
        <c:axId val="1027455776"/>
      </c:lineChart>
      <c:catAx>
        <c:axId val="102744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7455776"/>
        <c:crosses val="autoZero"/>
        <c:auto val="1"/>
        <c:lblAlgn val="ctr"/>
        <c:lblOffset val="100"/>
        <c:noMultiLvlLbl val="0"/>
      </c:catAx>
      <c:valAx>
        <c:axId val="102745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744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1581150</xdr:colOff>
      <xdr:row>0</xdr:row>
      <xdr:rowOff>123826</xdr:rowOff>
    </xdr:from>
    <xdr:to>
      <xdr:col>1</xdr:col>
      <xdr:colOff>4505325</xdr:colOff>
      <xdr:row>0</xdr:row>
      <xdr:rowOff>1059562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C92FA4F-4A45-07DF-DD48-AE9757B0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9025" y="123826"/>
          <a:ext cx="2924175" cy="935736"/>
        </a:xfrm>
        <a:prstGeom prst="rect">
          <a:avLst/>
        </a:prstGeom>
      </xdr:spPr>
    </xdr:pic>
    <xdr:clientData/>
  </xdr:twoCellAnchor>
  <xdr:twoCellAnchor>
    <xdr:from>
      <xdr:col>10</xdr:col>
      <xdr:colOff>27878</xdr:colOff>
      <xdr:row>9</xdr:row>
      <xdr:rowOff>46463</xdr:rowOff>
    </xdr:from>
    <xdr:to>
      <xdr:col>15</xdr:col>
      <xdr:colOff>111512</xdr:colOff>
      <xdr:row>24</xdr:row>
      <xdr:rowOff>1858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4820646-DA97-44E8-8B5B-D065C926AF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showGridLines="0" tabSelected="1" zoomScale="82" zoomScaleNormal="82" workbookViewId="0">
      <selection activeCell="L29" sqref="L29"/>
    </sheetView>
  </sheetViews>
  <sheetFormatPr defaultColWidth="8.5546875" defaultRowHeight="14.4" x14ac:dyDescent="0.3"/>
  <cols>
    <col min="1" max="1" width="32.21875" bestFit="1" customWidth="1"/>
    <col min="2" max="2" width="91.5546875" bestFit="1" customWidth="1"/>
    <col min="3" max="3" width="15.21875" bestFit="1" customWidth="1"/>
    <col min="4" max="4" width="9.88671875" bestFit="1" customWidth="1"/>
    <col min="5" max="5" width="5.5546875" bestFit="1" customWidth="1"/>
    <col min="6" max="6" width="12.109375" bestFit="1" customWidth="1"/>
    <col min="7" max="7" width="9.33203125" bestFit="1" customWidth="1"/>
    <col min="8" max="8" width="7.33203125" bestFit="1" customWidth="1"/>
    <col min="9" max="9" width="10" bestFit="1" customWidth="1"/>
    <col min="11" max="11" width="14.21875" customWidth="1"/>
    <col min="12" max="12" width="18.88671875" bestFit="1" customWidth="1"/>
    <col min="13" max="13" width="11.21875" bestFit="1" customWidth="1"/>
    <col min="14" max="15" width="10.5546875" bestFit="1" customWidth="1"/>
  </cols>
  <sheetData>
    <row r="1" spans="1:15" ht="88.8" customHeight="1" x14ac:dyDescent="0.3">
      <c r="A1" s="1"/>
      <c r="B1" s="2"/>
      <c r="C1" s="2"/>
      <c r="D1" s="2"/>
      <c r="E1" s="2"/>
      <c r="F1" s="2"/>
      <c r="G1" s="2"/>
      <c r="H1" s="2"/>
      <c r="I1" s="3"/>
    </row>
    <row r="2" spans="1:15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57</v>
      </c>
      <c r="H2" s="4" t="s">
        <v>6</v>
      </c>
      <c r="I2" s="4" t="s">
        <v>7</v>
      </c>
      <c r="K2" s="5"/>
      <c r="L2" s="6" t="s">
        <v>8</v>
      </c>
      <c r="M2" s="6" t="s">
        <v>9</v>
      </c>
      <c r="N2" s="6" t="s">
        <v>10</v>
      </c>
      <c r="O2" s="6" t="s">
        <v>11</v>
      </c>
    </row>
    <row r="3" spans="1:15" x14ac:dyDescent="0.3">
      <c r="A3" s="7" t="s">
        <v>12</v>
      </c>
      <c r="B3" s="7" t="s">
        <v>13</v>
      </c>
      <c r="C3" s="5" t="s">
        <v>14</v>
      </c>
      <c r="D3" s="5" t="s">
        <v>15</v>
      </c>
      <c r="E3" s="5">
        <v>5</v>
      </c>
      <c r="F3" s="5">
        <v>1</v>
      </c>
      <c r="G3" s="5" t="s">
        <v>58</v>
      </c>
      <c r="H3" s="5" t="s">
        <v>16</v>
      </c>
      <c r="I3" s="5" t="s">
        <v>10</v>
      </c>
      <c r="K3" s="6" t="s">
        <v>17</v>
      </c>
      <c r="L3" s="5">
        <f>SUM(E3:E19)</f>
        <v>134</v>
      </c>
      <c r="M3" s="5"/>
      <c r="N3" s="5"/>
      <c r="O3" s="5"/>
    </row>
    <row r="4" spans="1:15" x14ac:dyDescent="0.3">
      <c r="A4" s="7" t="s">
        <v>18</v>
      </c>
      <c r="B4" s="7" t="s">
        <v>19</v>
      </c>
      <c r="C4" s="5" t="s">
        <v>14</v>
      </c>
      <c r="D4" s="5" t="s">
        <v>15</v>
      </c>
      <c r="E4" s="5">
        <v>5</v>
      </c>
      <c r="F4" s="5">
        <v>2</v>
      </c>
      <c r="G4" s="5" t="s">
        <v>58</v>
      </c>
      <c r="H4" s="5" t="s">
        <v>16</v>
      </c>
      <c r="I4" s="5" t="s">
        <v>10</v>
      </c>
      <c r="K4" s="5" t="s">
        <v>58</v>
      </c>
      <c r="L4" s="5">
        <f>SUMIF($G$3:$G$19,K4,$E$3:$E$19)</f>
        <v>21</v>
      </c>
      <c r="M4" s="5">
        <f>SUMIF($G$3:$G$19,K4,$E$3:$E$19)</f>
        <v>21</v>
      </c>
      <c r="N4" s="5">
        <f>SUMIFS($E$3:$E$19,$I$3:$I$19,$N$2,$G$3:$G$19,K4)</f>
        <v>21</v>
      </c>
      <c r="O4" s="5">
        <f>SUMIFS($E$3:$E$19,$I$3:$I$19,$O$2,$G$3:$G$19,K4)</f>
        <v>0</v>
      </c>
    </row>
    <row r="5" spans="1:15" x14ac:dyDescent="0.3">
      <c r="A5" s="7" t="s">
        <v>20</v>
      </c>
      <c r="B5" s="7" t="s">
        <v>21</v>
      </c>
      <c r="C5" s="5" t="s">
        <v>14</v>
      </c>
      <c r="D5" s="5" t="s">
        <v>22</v>
      </c>
      <c r="E5" s="5">
        <v>3</v>
      </c>
      <c r="F5" s="5">
        <v>2</v>
      </c>
      <c r="G5" s="5" t="s">
        <v>58</v>
      </c>
      <c r="H5" s="5" t="s">
        <v>16</v>
      </c>
      <c r="I5" s="5" t="s">
        <v>10</v>
      </c>
      <c r="K5" s="5" t="s">
        <v>59</v>
      </c>
      <c r="L5" s="5">
        <f t="shared" ref="L5:L7" si="0">SUMIF($G$3:$G$19,K5,$E$3:$E$19)</f>
        <v>34</v>
      </c>
      <c r="M5" s="5">
        <f t="shared" ref="M5:M7" si="1">SUMIF($G$3:$G$19,K5,$E$3:$E$19)</f>
        <v>34</v>
      </c>
      <c r="N5" s="5">
        <f t="shared" ref="N5:N7" si="2">SUMIFS($E$3:$E$19,$I$3:$I$19,$N$2,$G$3:$G$19,K5)</f>
        <v>34</v>
      </c>
      <c r="O5" s="5">
        <f t="shared" ref="O5:O7" si="3">SUMIFS($E$3:$E$19,$I$3:$I$19,$O$2,$G$3:$G$19,K5)</f>
        <v>0</v>
      </c>
    </row>
    <row r="6" spans="1:15" x14ac:dyDescent="0.3">
      <c r="A6" s="7" t="s">
        <v>23</v>
      </c>
      <c r="B6" s="7" t="s">
        <v>24</v>
      </c>
      <c r="C6" s="5" t="s">
        <v>14</v>
      </c>
      <c r="D6" s="5" t="s">
        <v>25</v>
      </c>
      <c r="E6" s="5">
        <v>8</v>
      </c>
      <c r="F6" s="5">
        <v>1</v>
      </c>
      <c r="G6" s="5" t="s">
        <v>58</v>
      </c>
      <c r="H6" s="5" t="s">
        <v>16</v>
      </c>
      <c r="I6" s="5" t="s">
        <v>10</v>
      </c>
      <c r="K6" s="5" t="s">
        <v>60</v>
      </c>
      <c r="L6" s="5">
        <f t="shared" si="0"/>
        <v>50</v>
      </c>
      <c r="M6" s="5">
        <f t="shared" si="1"/>
        <v>50</v>
      </c>
      <c r="N6" s="5">
        <f t="shared" si="2"/>
        <v>50</v>
      </c>
      <c r="O6" s="5">
        <f t="shared" si="3"/>
        <v>0</v>
      </c>
    </row>
    <row r="7" spans="1:15" x14ac:dyDescent="0.3">
      <c r="A7" s="7" t="s">
        <v>26</v>
      </c>
      <c r="B7" s="7" t="s">
        <v>27</v>
      </c>
      <c r="C7" s="5" t="s">
        <v>14</v>
      </c>
      <c r="D7" s="5" t="s">
        <v>15</v>
      </c>
      <c r="E7" s="5">
        <v>5</v>
      </c>
      <c r="F7" s="5">
        <v>1</v>
      </c>
      <c r="G7" s="5" t="s">
        <v>59</v>
      </c>
      <c r="H7" s="5" t="s">
        <v>16</v>
      </c>
      <c r="I7" s="5" t="s">
        <v>10</v>
      </c>
      <c r="K7" s="5" t="s">
        <v>61</v>
      </c>
      <c r="L7" s="5">
        <f t="shared" si="0"/>
        <v>29</v>
      </c>
      <c r="M7" s="5">
        <f t="shared" si="1"/>
        <v>29</v>
      </c>
      <c r="N7" s="5">
        <f t="shared" si="2"/>
        <v>29</v>
      </c>
      <c r="O7" s="5">
        <f t="shared" si="3"/>
        <v>0</v>
      </c>
    </row>
    <row r="8" spans="1:15" x14ac:dyDescent="0.3">
      <c r="A8" s="7" t="s">
        <v>28</v>
      </c>
      <c r="B8" s="7" t="s">
        <v>29</v>
      </c>
      <c r="C8" s="5" t="s">
        <v>14</v>
      </c>
      <c r="D8" s="5" t="s">
        <v>15</v>
      </c>
      <c r="E8" s="5">
        <v>5</v>
      </c>
      <c r="F8" s="5">
        <v>1</v>
      </c>
      <c r="G8" s="5" t="s">
        <v>59</v>
      </c>
      <c r="H8" s="5" t="s">
        <v>16</v>
      </c>
      <c r="I8" s="5" t="s">
        <v>10</v>
      </c>
    </row>
    <row r="9" spans="1:15" x14ac:dyDescent="0.3">
      <c r="A9" s="7" t="s">
        <v>30</v>
      </c>
      <c r="B9" s="7" t="s">
        <v>31</v>
      </c>
      <c r="C9" s="5" t="s">
        <v>14</v>
      </c>
      <c r="D9" s="5" t="s">
        <v>25</v>
      </c>
      <c r="E9" s="5">
        <v>8</v>
      </c>
      <c r="F9" s="5">
        <v>1</v>
      </c>
      <c r="G9" s="5" t="s">
        <v>59</v>
      </c>
      <c r="H9" s="5" t="s">
        <v>16</v>
      </c>
      <c r="I9" s="5" t="s">
        <v>10</v>
      </c>
    </row>
    <row r="10" spans="1:15" x14ac:dyDescent="0.3">
      <c r="A10" s="7" t="s">
        <v>32</v>
      </c>
      <c r="B10" s="7" t="s">
        <v>33</v>
      </c>
      <c r="C10" s="5" t="s">
        <v>14</v>
      </c>
      <c r="D10" s="5" t="s">
        <v>25</v>
      </c>
      <c r="E10" s="5">
        <v>8</v>
      </c>
      <c r="F10" s="5">
        <v>1</v>
      </c>
      <c r="G10" s="5" t="s">
        <v>59</v>
      </c>
      <c r="H10" s="5" t="s">
        <v>16</v>
      </c>
      <c r="I10" s="5" t="s">
        <v>10</v>
      </c>
    </row>
    <row r="11" spans="1:15" x14ac:dyDescent="0.3">
      <c r="A11" s="7" t="s">
        <v>34</v>
      </c>
      <c r="B11" s="7" t="s">
        <v>35</v>
      </c>
      <c r="C11" s="5" t="s">
        <v>14</v>
      </c>
      <c r="D11" s="5" t="s">
        <v>25</v>
      </c>
      <c r="E11" s="5">
        <v>8</v>
      </c>
      <c r="F11" s="5">
        <v>1</v>
      </c>
      <c r="G11" s="5" t="s">
        <v>59</v>
      </c>
      <c r="H11" s="5" t="s">
        <v>16</v>
      </c>
      <c r="I11" s="5" t="s">
        <v>10</v>
      </c>
    </row>
    <row r="12" spans="1:15" x14ac:dyDescent="0.3">
      <c r="A12" s="7" t="s">
        <v>36</v>
      </c>
      <c r="B12" s="7" t="s">
        <v>37</v>
      </c>
      <c r="C12" s="5" t="s">
        <v>14</v>
      </c>
      <c r="D12" s="5" t="s">
        <v>38</v>
      </c>
      <c r="E12" s="5">
        <v>13</v>
      </c>
      <c r="F12" s="5">
        <v>1</v>
      </c>
      <c r="G12" s="5" t="s">
        <v>60</v>
      </c>
      <c r="H12" s="5" t="s">
        <v>16</v>
      </c>
      <c r="I12" s="5" t="s">
        <v>10</v>
      </c>
    </row>
    <row r="13" spans="1:15" x14ac:dyDescent="0.3">
      <c r="A13" s="7" t="s">
        <v>39</v>
      </c>
      <c r="B13" s="7" t="s">
        <v>40</v>
      </c>
      <c r="C13" s="5" t="s">
        <v>14</v>
      </c>
      <c r="D13" s="5" t="s">
        <v>25</v>
      </c>
      <c r="E13" s="5">
        <v>8</v>
      </c>
      <c r="F13" s="5">
        <v>1</v>
      </c>
      <c r="G13" s="5" t="s">
        <v>60</v>
      </c>
      <c r="H13" s="5" t="s">
        <v>16</v>
      </c>
      <c r="I13" s="5" t="s">
        <v>10</v>
      </c>
    </row>
    <row r="14" spans="1:15" x14ac:dyDescent="0.3">
      <c r="A14" s="7" t="s">
        <v>41</v>
      </c>
      <c r="B14" s="7" t="s">
        <v>42</v>
      </c>
      <c r="C14" s="5" t="s">
        <v>43</v>
      </c>
      <c r="D14" s="5" t="s">
        <v>38</v>
      </c>
      <c r="E14" s="5">
        <v>13</v>
      </c>
      <c r="F14" s="5">
        <v>2</v>
      </c>
      <c r="G14" s="5" t="s">
        <v>60</v>
      </c>
      <c r="H14" s="5" t="s">
        <v>16</v>
      </c>
      <c r="I14" s="5" t="s">
        <v>10</v>
      </c>
    </row>
    <row r="15" spans="1:15" x14ac:dyDescent="0.3">
      <c r="A15" s="7" t="s">
        <v>44</v>
      </c>
      <c r="B15" s="7" t="s">
        <v>45</v>
      </c>
      <c r="C15" s="5" t="s">
        <v>46</v>
      </c>
      <c r="D15" s="5" t="s">
        <v>25</v>
      </c>
      <c r="E15" s="5">
        <v>8</v>
      </c>
      <c r="F15" s="5">
        <v>1</v>
      </c>
      <c r="G15" s="5" t="s">
        <v>60</v>
      </c>
      <c r="H15" s="5" t="s">
        <v>16</v>
      </c>
      <c r="I15" s="5" t="s">
        <v>10</v>
      </c>
    </row>
    <row r="16" spans="1:15" x14ac:dyDescent="0.3">
      <c r="A16" s="7" t="s">
        <v>47</v>
      </c>
      <c r="B16" s="7" t="s">
        <v>48</v>
      </c>
      <c r="C16" s="5" t="s">
        <v>14</v>
      </c>
      <c r="D16" s="5" t="s">
        <v>25</v>
      </c>
      <c r="E16" s="5">
        <v>8</v>
      </c>
      <c r="F16" s="5">
        <v>1</v>
      </c>
      <c r="G16" s="5" t="s">
        <v>60</v>
      </c>
      <c r="H16" s="5" t="s">
        <v>16</v>
      </c>
      <c r="I16" s="5" t="s">
        <v>10</v>
      </c>
    </row>
    <row r="17" spans="1:9" x14ac:dyDescent="0.3">
      <c r="A17" s="7" t="s">
        <v>49</v>
      </c>
      <c r="B17" s="7" t="s">
        <v>50</v>
      </c>
      <c r="C17" s="5" t="s">
        <v>14</v>
      </c>
      <c r="D17" s="5" t="s">
        <v>25</v>
      </c>
      <c r="E17" s="5">
        <v>8</v>
      </c>
      <c r="F17" s="5">
        <v>1</v>
      </c>
      <c r="G17" s="5" t="s">
        <v>61</v>
      </c>
      <c r="H17" s="5" t="s">
        <v>16</v>
      </c>
      <c r="I17" s="5" t="s">
        <v>10</v>
      </c>
    </row>
    <row r="18" spans="1:9" x14ac:dyDescent="0.3">
      <c r="A18" s="7" t="s">
        <v>51</v>
      </c>
      <c r="B18" s="7" t="s">
        <v>52</v>
      </c>
      <c r="C18" s="5" t="s">
        <v>14</v>
      </c>
      <c r="D18" s="5" t="s">
        <v>25</v>
      </c>
      <c r="E18" s="5">
        <v>8</v>
      </c>
      <c r="F18" s="5">
        <v>1</v>
      </c>
      <c r="G18" s="5" t="s">
        <v>61</v>
      </c>
      <c r="H18" s="5" t="s">
        <v>16</v>
      </c>
      <c r="I18" s="5" t="s">
        <v>10</v>
      </c>
    </row>
    <row r="19" spans="1:9" x14ac:dyDescent="0.3">
      <c r="A19" s="7" t="s">
        <v>53</v>
      </c>
      <c r="B19" s="7" t="s">
        <v>54</v>
      </c>
      <c r="C19" s="5" t="s">
        <v>14</v>
      </c>
      <c r="D19" s="5" t="s">
        <v>38</v>
      </c>
      <c r="E19" s="5">
        <v>13</v>
      </c>
      <c r="F19" s="5">
        <v>1</v>
      </c>
      <c r="G19" s="5" t="s">
        <v>61</v>
      </c>
      <c r="H19" s="5" t="s">
        <v>16</v>
      </c>
      <c r="I19" s="5" t="s">
        <v>10</v>
      </c>
    </row>
  </sheetData>
  <phoneticPr fontId="2" type="noConversion"/>
  <pageMargins left="0.51180555555555496" right="0.51180555555555496" top="0.78749999999999998" bottom="0.78749999999999998" header="0.51180555555555496" footer="0.51180555555555496"/>
  <pageSetup firstPageNumber="0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'Lista - validações'!$D$2:$D$4</xm:f>
          </x14:formula1>
          <x14:formula2>
            <xm:f>0</xm:f>
          </x14:formula2>
          <xm:sqref>C3:C19</xm:sqref>
        </x14:dataValidation>
        <x14:dataValidation type="list" allowBlank="1" showInputMessage="1" showErrorMessage="1" xr:uid="{00000000-0002-0000-0000-000001000000}">
          <x14:formula1>
            <xm:f>'Lista - validações'!$A$2:$A$6</xm:f>
          </x14:formula1>
          <x14:formula2>
            <xm:f>0</xm:f>
          </x14:formula2>
          <xm:sqref>D3:D19</xm:sqref>
        </x14:dataValidation>
        <x14:dataValidation type="list" allowBlank="1" showInputMessage="1" showErrorMessage="1" xr:uid="{00000000-0002-0000-0000-000002000000}">
          <x14:formula1>
            <xm:f>'Lista - validações'!$B$2:$B$6</xm:f>
          </x14:formula1>
          <x14:formula2>
            <xm:f>0</xm:f>
          </x14:formula2>
          <xm:sqref>E3:E19</xm:sqref>
        </x14:dataValidation>
        <x14:dataValidation type="list" allowBlank="1" showInputMessage="1" showErrorMessage="1" xr:uid="{00000000-0002-0000-0000-000003000000}">
          <x14:formula1>
            <xm:f>'Lista - validações'!$C$2:$C$3</xm:f>
          </x14:formula1>
          <x14:formula2>
            <xm:f>0</xm:f>
          </x14:formula2>
          <xm:sqref>I3:I19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topLeftCell="A2" zoomScaleNormal="100" workbookViewId="0">
      <selection activeCell="Q21" sqref="Q21"/>
    </sheetView>
  </sheetViews>
  <sheetFormatPr defaultColWidth="8.5546875" defaultRowHeight="14.4" x14ac:dyDescent="0.3"/>
  <cols>
    <col min="1" max="1" width="9.5546875" customWidth="1"/>
    <col min="2" max="2" width="10.77734375" customWidth="1"/>
    <col min="3" max="3" width="9.88671875" customWidth="1"/>
    <col min="4" max="4" width="14.6640625" customWidth="1"/>
  </cols>
  <sheetData>
    <row r="1" spans="1:4" x14ac:dyDescent="0.3">
      <c r="A1" s="8" t="s">
        <v>3</v>
      </c>
      <c r="B1" s="8" t="s">
        <v>55</v>
      </c>
      <c r="C1" s="8" t="s">
        <v>7</v>
      </c>
      <c r="D1" s="8" t="s">
        <v>2</v>
      </c>
    </row>
    <row r="2" spans="1:4" x14ac:dyDescent="0.3">
      <c r="A2" s="9" t="s">
        <v>22</v>
      </c>
      <c r="B2" s="9">
        <v>3</v>
      </c>
      <c r="C2" s="9" t="s">
        <v>10</v>
      </c>
      <c r="D2" t="s">
        <v>14</v>
      </c>
    </row>
    <row r="3" spans="1:4" x14ac:dyDescent="0.3">
      <c r="A3" s="9" t="s">
        <v>15</v>
      </c>
      <c r="B3" s="9">
        <v>5</v>
      </c>
      <c r="C3" s="9" t="s">
        <v>11</v>
      </c>
      <c r="D3" t="s">
        <v>46</v>
      </c>
    </row>
    <row r="4" spans="1:4" x14ac:dyDescent="0.3">
      <c r="A4" s="9" t="s">
        <v>25</v>
      </c>
      <c r="B4" s="9">
        <v>8</v>
      </c>
      <c r="C4" s="9"/>
      <c r="D4" t="s">
        <v>43</v>
      </c>
    </row>
    <row r="5" spans="1:4" x14ac:dyDescent="0.3">
      <c r="A5" s="9" t="s">
        <v>38</v>
      </c>
      <c r="B5" s="9">
        <v>13</v>
      </c>
      <c r="C5" s="9"/>
    </row>
    <row r="6" spans="1:4" x14ac:dyDescent="0.3">
      <c r="A6" s="9" t="s">
        <v>56</v>
      </c>
      <c r="B6" s="9">
        <v>21</v>
      </c>
      <c r="C6" s="9"/>
    </row>
    <row r="12" spans="1:4" x14ac:dyDescent="0.3">
      <c r="A12" s="4" t="s">
        <v>17</v>
      </c>
      <c r="B12" s="4" t="s">
        <v>9</v>
      </c>
      <c r="C12" s="4" t="s">
        <v>10</v>
      </c>
    </row>
    <row r="13" spans="1:4" x14ac:dyDescent="0.3">
      <c r="A13" s="9" t="s">
        <v>58</v>
      </c>
      <c r="B13" s="9">
        <f>Backlog!M4</f>
        <v>21</v>
      </c>
      <c r="C13" s="9">
        <f>Backlog!N4</f>
        <v>21</v>
      </c>
    </row>
    <row r="14" spans="1:4" x14ac:dyDescent="0.3">
      <c r="A14" s="9" t="s">
        <v>59</v>
      </c>
      <c r="B14" s="9">
        <f>Backlog!M5</f>
        <v>34</v>
      </c>
      <c r="C14" s="9">
        <f>Backlog!N5</f>
        <v>34</v>
      </c>
    </row>
    <row r="15" spans="1:4" x14ac:dyDescent="0.3">
      <c r="A15" s="9" t="s">
        <v>60</v>
      </c>
      <c r="B15" s="9">
        <f>Backlog!M6</f>
        <v>50</v>
      </c>
      <c r="C15" s="9">
        <f>Backlog!N6</f>
        <v>50</v>
      </c>
    </row>
    <row r="16" spans="1:4" x14ac:dyDescent="0.3">
      <c r="A16" s="9" t="s">
        <v>61</v>
      </c>
      <c r="B16" s="9">
        <f>Backlog!M7</f>
        <v>29</v>
      </c>
      <c r="C16" s="9">
        <f>Backlog!N7</f>
        <v>29</v>
      </c>
    </row>
  </sheetData>
  <phoneticPr fontId="2" type="noConversion"/>
  <pageMargins left="0.51180555555555496" right="0.51180555555555496" top="0.78749999999999998" bottom="0.78749999999999998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Lista - validações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 Daniel Oliveira Souza da Silva</dc:creator>
  <dc:description/>
  <cp:lastModifiedBy>Samara Vicky Mendonça</cp:lastModifiedBy>
  <cp:revision>1</cp:revision>
  <dcterms:created xsi:type="dcterms:W3CDTF">2025-11-09T21:55:04Z</dcterms:created>
  <dcterms:modified xsi:type="dcterms:W3CDTF">2025-12-05T14:46:30Z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