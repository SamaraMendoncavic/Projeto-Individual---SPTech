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cklog" sheetId="1" state="visible" r:id="rId2"/>
    <sheet name="Lista - validaçõ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<sst xmlns="http://schemas.openxmlformats.org/spreadsheetml/2006/main" count="135" uniqueCount="58">
  <si>
    <t xml:space="preserve">REQUISITOS</t>
  </si>
  <si>
    <t xml:space="preserve">DESCRIÇÃO</t>
  </si>
  <si>
    <t xml:space="preserve">CLASSIFICAÇÃO</t>
  </si>
  <si>
    <t xml:space="preserve">TAMANHO</t>
  </si>
  <si>
    <t xml:space="preserve">TAM#</t>
  </si>
  <si>
    <t xml:space="preserve">PRIORIDADE</t>
  </si>
  <si>
    <t xml:space="preserve">SPRINT</t>
  </si>
  <si>
    <t xml:space="preserve">STATUS</t>
  </si>
  <si>
    <t xml:space="preserve">PONTOS FIBONACCI</t>
  </si>
  <si>
    <t xml:space="preserve">PLANEJADO</t>
  </si>
  <si>
    <t xml:space="preserve">ENTREGUE</t>
  </si>
  <si>
    <t xml:space="preserve">PENDENTE</t>
  </si>
  <si>
    <t xml:space="preserve">Documento do Projeto</t>
  </si>
  <si>
    <t xml:space="preserve">Criar documentação do projeto</t>
  </si>
  <si>
    <t xml:space="preserve">ESSENCIAL</t>
  </si>
  <si>
    <t xml:space="preserve">P</t>
  </si>
  <si>
    <t xml:space="preserve">SP3</t>
  </si>
  <si>
    <t xml:space="preserve">TOTAL</t>
  </si>
  <si>
    <t xml:space="preserve">Planejamento no Trello</t>
  </si>
  <si>
    <t xml:space="preserve">Criar o ambiente de gestão no Trello para organização</t>
  </si>
  <si>
    <t xml:space="preserve">Uso do Git (governança)</t>
  </si>
  <si>
    <t xml:space="preserve">Criar repositório no GitHub para colocar todas versões do projeto</t>
  </si>
  <si>
    <t xml:space="preserve">PP</t>
  </si>
  <si>
    <t xml:space="preserve">MÉDIA</t>
  </si>
  <si>
    <t xml:space="preserve">Modelo Lógico e relacionamentos</t>
  </si>
  <si>
    <t xml:space="preserve">Criar a modelagem lógica do banco de dados</t>
  </si>
  <si>
    <t xml:space="preserve">M</t>
  </si>
  <si>
    <t xml:space="preserve">Comandos SQL</t>
  </si>
  <si>
    <t xml:space="preserve">Utilizar comandos SQL para realização de análises</t>
  </si>
  <si>
    <t xml:space="preserve">Algoritmos</t>
  </si>
  <si>
    <t xml:space="preserve">Variáveis, Funções, Operações Matemáticas, Condicionais, Repetições, Vetores </t>
  </si>
  <si>
    <t xml:space="preserve">Aplicação de cálculos matemáticos</t>
  </si>
  <si>
    <t xml:space="preserve">Arq. Computadores e Matemática</t>
  </si>
  <si>
    <t xml:space="preserve">Utilizar Máquina Virtual</t>
  </si>
  <si>
    <t xml:space="preserve">Utilização de uma VM Linux contendo somente seu BD</t>
  </si>
  <si>
    <t xml:space="preserve">Pesquisa e Inovação</t>
  </si>
  <si>
    <t xml:space="preserve">Contexto, Planejamento, Dashboard e Indicadores</t>
  </si>
  <si>
    <t xml:space="preserve">Socioemocional</t>
  </si>
  <si>
    <t xml:space="preserve">aplicar os conceitos trabalhados em aula.</t>
  </si>
  <si>
    <t xml:space="preserve">G</t>
  </si>
  <si>
    <t xml:space="preserve">Contexto - ONU</t>
  </si>
  <si>
    <t xml:space="preserve">Utilizar as ODSs para criação e contexto do projeto</t>
  </si>
  <si>
    <t xml:space="preserve">Criar protótipo no figma</t>
  </si>
  <si>
    <t xml:space="preserve">Criar prototipagem no figma, para uma melhor vizualização de como ficará o site</t>
  </si>
  <si>
    <t xml:space="preserve">IMPORTANTE</t>
  </si>
  <si>
    <t xml:space="preserve">Colocar check de estrelas </t>
  </si>
  <si>
    <t xml:space="preserve">Como meio de avaliar os livros, com base nas suas leituras</t>
  </si>
  <si>
    <t xml:space="preserve">DESEJÁVEL</t>
  </si>
  <si>
    <t xml:space="preserve">Homepage do site institucional</t>
  </si>
  <si>
    <t xml:space="preserve">Conterá sobre a escritora, livros e sobre mim, sendo criado em Javascript, HTML e CSS</t>
  </si>
  <si>
    <t xml:space="preserve">Tela de login</t>
  </si>
  <si>
    <t xml:space="preserve">Criar a tela de login do site institucional </t>
  </si>
  <si>
    <t xml:space="preserve">Tela de Cadastro</t>
  </si>
  <si>
    <t xml:space="preserve">Criar a tela de cadastro do site institucional </t>
  </si>
  <si>
    <t xml:space="preserve">Página do Dashboard</t>
  </si>
  <si>
    <t xml:space="preserve">Desenvolver detalhes do painel de dados, incluindo quais métricas e indicadores (KPIs) serão exibidos</t>
  </si>
  <si>
    <t xml:space="preserve">PESO</t>
  </si>
  <si>
    <t xml:space="preserve">GG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</si>
</sst>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"/>
  </numFmts>
  <fonts count="8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ptos Narrow"/>
      <family val="2"/>
      <charset val="1"/>
    </font>
    <font>
      <sz val="11"/>
      <color rgb="FFFFFFFF"/>
      <name val="Aptos Narrow"/>
      <family val="2"/>
      <charset val="1"/>
    </font>
    <font>
      <sz val="14"/>
      <color rgb="FF595959"/>
      <name val="Aptos Narrow"/>
      <family val="2"/>
    </font>
    <font>
      <sz val="9"/>
      <color rgb="FF595959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E59EDD"/>
        <bgColor rgb="FFCC99FF"/>
      </patternFill>
    </fill>
    <fill>
      <patternFill patternType="solid">
        <fgColor rgb="FFF2CFEE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 style="thin">
        <color rgb="FFE59EDD"/>
      </right>
      <top/>
      <bottom/>
      <diagonal/>
    </border>
    <border diagonalUp="false" diagonalDown="false">
      <left style="thin">
        <color rgb="FFE59EDD"/>
      </left>
      <right style="thin">
        <color rgb="FFE59EDD"/>
      </right>
      <top style="thin">
        <color rgb="FFE59EDD"/>
      </top>
      <bottom style="thin">
        <color rgb="FFE59E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9ED5"/>
      <rgbColor rgb="FFF2CFE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2F1C8"/>
      <rgbColor rgb="FFFFFF99"/>
      <rgbColor rgb="FF99CCFF"/>
      <rgbColor rgb="FFE59EDD"/>
      <rgbColor rgb="FFCC99FF"/>
      <rgbColor rgb="FFF2AA84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pt-BR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pt-BR" sz="1400" spc="-1" strike="noStrike">
                <a:solidFill>
                  <a:srgbClr val="595959"/>
                </a:solidFill>
                <a:latin typeface="Aptos Narrow"/>
              </a:rPr>
              <a:t>Entregas - Sprint 3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'Lista - validações'!$A$13</c:f>
              <c:strCache>
                <c:ptCount val="1"/>
                <c:pt idx="0">
                  <c:v>SP3</c:v>
                </c:pt>
              </c:strCache>
            </c:strRef>
          </c:tx>
          <c:spPr>
            <a:solidFill>
              <a:srgbClr val="0f9ed5"/>
            </a:solidFill>
            <a:ln>
              <a:noFill/>
            </a:ln>
          </c:spPr>
          <c:invertIfNegative val="0"/>
          <c:dPt>
            <c:idx val="0"/>
            <c:invertIfNegative val="0"/>
            <c:spPr>
              <a:solidFill>
                <a:srgbClr val="f2aa84"/>
              </a:solidFill>
              <a:ln>
                <a:noFill/>
              </a:ln>
            </c:spPr>
          </c:dPt>
          <c:dPt>
            <c:idx val="1"/>
            <c:invertIfNegative val="0"/>
            <c:spPr>
              <a:solidFill>
                <a:srgbClr val="c2f1c8"/>
              </a:solidFill>
              <a:ln>
                <a:noFill/>
              </a:ln>
            </c:spPr>
          </c:dPt>
          <c:dLbls>
            <c:dLbl>
              <c:idx val="0"/>
              <c:txPr>
                <a:bodyPr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</c:dLbls>
          <c:cat>
            <c:strRef>
              <c:f>'Lista - validações'!$B$12:$C$12</c:f>
              <c:strCache>
                <c:ptCount val="2"/>
                <c:pt idx="0">
                  <c:v>PLANEJADO</c:v>
                </c:pt>
                <c:pt idx="1">
                  <c:v>ENTREGUE</c:v>
                </c:pt>
              </c:strCache>
            </c:strRef>
          </c:cat>
          <c:val>
            <c:numRef>
              <c:f>'Lista - validações'!$B$13:$C$13</c:f>
              <c:numCache>
                <c:formatCode>General</c:formatCode>
                <c:ptCount val="2"/>
                <c:pt idx="0">
                  <c:v>134</c:v>
                </c:pt>
                <c:pt idx="1">
                  <c:v>31</c:v>
                </c:pt>
              </c:numCache>
            </c:numRef>
          </c:val>
        </c:ser>
        <c:gapWidth val="219"/>
        <c:overlap val="-27"/>
        <c:axId val="75412460"/>
        <c:axId val="8000862"/>
      </c:barChart>
      <c:catAx>
        <c:axId val="754124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8000862"/>
        <c:crosses val="autoZero"/>
        <c:auto val="1"/>
        <c:lblAlgn val="ctr"/>
        <c:lblOffset val="100"/>
        <c:noMultiLvlLbl val="0"/>
      </c:catAx>
      <c:valAx>
        <c:axId val="800086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7541246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586800</xdr:colOff>
      <xdr:row>6</xdr:row>
      <xdr:rowOff>53280</xdr:rowOff>
    </xdr:from>
    <xdr:to>
      <xdr:col>14</xdr:col>
      <xdr:colOff>22680</xdr:colOff>
      <xdr:row>19</xdr:row>
      <xdr:rowOff>26280</xdr:rowOff>
    </xdr:to>
    <xdr:graphicFrame>
      <xdr:nvGraphicFramePr>
        <xdr:cNvPr id="0" name="Gráfico 1"/>
        <xdr:cNvGraphicFramePr/>
      </xdr:nvGraphicFramePr>
      <xdr:xfrm>
        <a:off x="15800040" y="1714320"/>
        <a:ext cx="5073840" cy="2350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19"/>
  <sheetViews>
    <sheetView showFormulas="false" showGridLines="fals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H7" activeCellId="0" sqref="H7"/>
    </sheetView>
  </sheetViews>
  <sheetFormatPr defaultColWidth="8.5390625" defaultRowHeight="14.4" zeroHeight="false" outlineLevelRow="0" outlineLevelCol="0"/>
  <cols>
    <col collapsed="false" customWidth="true" hidden="false" outlineLevel="0" max="1" min="1" style="0" width="29.89"/>
    <col collapsed="false" customWidth="true" hidden="false" outlineLevel="0" max="2" min="2" style="0" width="83.22"/>
    <col collapsed="false" customWidth="true" hidden="false" outlineLevel="0" max="3" min="3" style="0" width="14.66"/>
    <col collapsed="false" customWidth="true" hidden="false" outlineLevel="0" max="4" min="4" style="0" width="9.55"/>
    <col collapsed="false" customWidth="true" hidden="false" outlineLevel="0" max="5" min="5" style="0" width="5.44"/>
    <col collapsed="false" customWidth="true" hidden="false" outlineLevel="0" max="6" min="6" style="0" width="11.33"/>
    <col collapsed="false" customWidth="true" hidden="false" outlineLevel="0" max="7" min="7" style="0" width="7.11"/>
    <col collapsed="false" customWidth="true" hidden="false" outlineLevel="0" max="8" min="8" style="0" width="9.88"/>
    <col collapsed="false" customWidth="true" hidden="false" outlineLevel="0" max="10" min="10" style="0" width="6.22"/>
    <col collapsed="false" customWidth="true" hidden="false" outlineLevel="0" max="11" min="11" style="0" width="18.11"/>
    <col collapsed="false" customWidth="true" hidden="false" outlineLevel="0" max="12" min="12" style="0" width="10.78"/>
    <col collapsed="false" customWidth="true" hidden="false" outlineLevel="0" max="14" min="13" style="0" width="9.88"/>
  </cols>
  <sheetData>
    <row r="1" customFormat="false" ht="58.8" hidden="false" customHeight="true" outlineLevel="0" collapsed="false">
      <c r="A1" s="1"/>
      <c r="B1" s="2" t="e">
        <f aca="false">#VALUE!</f>
        <v>#VALUE!</v>
      </c>
      <c r="C1" s="2"/>
      <c r="D1" s="2"/>
      <c r="E1" s="2"/>
      <c r="F1" s="2"/>
      <c r="G1" s="2"/>
      <c r="H1" s="3"/>
    </row>
    <row r="2" customFormat="false" ht="14.4" hidden="false" customHeight="false" outlineLevel="0" collapsed="false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J2" s="5"/>
      <c r="K2" s="6" t="s">
        <v>8</v>
      </c>
      <c r="L2" s="6" t="s">
        <v>9</v>
      </c>
      <c r="M2" s="6" t="s">
        <v>10</v>
      </c>
      <c r="N2" s="6" t="s">
        <v>11</v>
      </c>
    </row>
    <row r="3" customFormat="false" ht="14.4" hidden="false" customHeight="false" outlineLevel="0" collapsed="false">
      <c r="A3" s="7" t="s">
        <v>12</v>
      </c>
      <c r="B3" s="7" t="s">
        <v>13</v>
      </c>
      <c r="C3" s="8" t="s">
        <v>14</v>
      </c>
      <c r="D3" s="8" t="s">
        <v>15</v>
      </c>
      <c r="E3" s="5" t="n">
        <v>5</v>
      </c>
      <c r="F3" s="5" t="n">
        <v>1</v>
      </c>
      <c r="G3" s="5" t="s">
        <v>16</v>
      </c>
      <c r="H3" s="8" t="s">
        <v>11</v>
      </c>
      <c r="J3" s="6" t="s">
        <v>17</v>
      </c>
      <c r="K3" s="5" t="n">
        <f aca="false">SUM(E3:E19)</f>
        <v>134</v>
      </c>
      <c r="L3" s="5"/>
      <c r="M3" s="5"/>
      <c r="N3" s="5"/>
    </row>
    <row r="4" customFormat="false" ht="14.4" hidden="false" customHeight="false" outlineLevel="0" collapsed="false">
      <c r="A4" s="7" t="s">
        <v>18</v>
      </c>
      <c r="B4" s="7" t="s">
        <v>19</v>
      </c>
      <c r="C4" s="8" t="s">
        <v>14</v>
      </c>
      <c r="D4" s="8" t="s">
        <v>15</v>
      </c>
      <c r="E4" s="5" t="n">
        <v>5</v>
      </c>
      <c r="F4" s="5" t="n">
        <v>2</v>
      </c>
      <c r="G4" s="5" t="s">
        <v>16</v>
      </c>
      <c r="H4" s="8" t="s">
        <v>10</v>
      </c>
      <c r="J4" s="5" t="s">
        <v>16</v>
      </c>
      <c r="K4" s="5" t="n">
        <f aca="false">SUM(E3:E19)</f>
        <v>134</v>
      </c>
      <c r="L4" s="5" t="n">
        <f aca="false">K3</f>
        <v>134</v>
      </c>
      <c r="M4" s="5" t="n">
        <f aca="false">SUMIFS(E3:E19,H3:H19,$M$2,G3:G19,J4)</f>
        <v>31</v>
      </c>
      <c r="N4" s="5" t="n">
        <f aca="false">L4-M4</f>
        <v>103</v>
      </c>
    </row>
    <row r="5" customFormat="false" ht="14.4" hidden="false" customHeight="false" outlineLevel="0" collapsed="false">
      <c r="A5" s="7" t="s">
        <v>20</v>
      </c>
      <c r="B5" s="7" t="s">
        <v>21</v>
      </c>
      <c r="C5" s="8" t="s">
        <v>14</v>
      </c>
      <c r="D5" s="8" t="s">
        <v>22</v>
      </c>
      <c r="E5" s="5" t="n">
        <v>3</v>
      </c>
      <c r="F5" s="5" t="n">
        <v>2</v>
      </c>
      <c r="G5" s="5" t="s">
        <v>16</v>
      </c>
      <c r="H5" s="8" t="s">
        <v>11</v>
      </c>
      <c r="J5" s="9" t="s">
        <v>23</v>
      </c>
      <c r="K5" s="10" t="n">
        <f aca="false">AVERAGE(E3:E19)</f>
        <v>7.88235294117647</v>
      </c>
      <c r="L5" s="5"/>
      <c r="M5" s="5"/>
      <c r="N5" s="5"/>
    </row>
    <row r="6" customFormat="false" ht="14.4" hidden="false" customHeight="false" outlineLevel="0" collapsed="false">
      <c r="A6" s="7" t="s">
        <v>24</v>
      </c>
      <c r="B6" s="7" t="s">
        <v>25</v>
      </c>
      <c r="C6" s="8" t="s">
        <v>14</v>
      </c>
      <c r="D6" s="8" t="s">
        <v>26</v>
      </c>
      <c r="E6" s="5" t="n">
        <v>8</v>
      </c>
      <c r="F6" s="5" t="n">
        <v>1</v>
      </c>
      <c r="G6" s="5" t="s">
        <v>16</v>
      </c>
      <c r="H6" s="8" t="s">
        <v>10</v>
      </c>
    </row>
    <row r="7" customFormat="false" ht="14.4" hidden="false" customHeight="false" outlineLevel="0" collapsed="false">
      <c r="A7" s="7" t="s">
        <v>27</v>
      </c>
      <c r="B7" s="11" t="s">
        <v>28</v>
      </c>
      <c r="C7" s="8" t="s">
        <v>14</v>
      </c>
      <c r="D7" s="8" t="s">
        <v>15</v>
      </c>
      <c r="E7" s="5" t="n">
        <v>5</v>
      </c>
      <c r="F7" s="5" t="n">
        <v>1</v>
      </c>
      <c r="G7" s="5" t="s">
        <v>16</v>
      </c>
      <c r="H7" s="8" t="s">
        <v>10</v>
      </c>
    </row>
    <row r="8" customFormat="false" ht="14.4" hidden="false" customHeight="false" outlineLevel="0" collapsed="false">
      <c r="A8" s="7" t="s">
        <v>29</v>
      </c>
      <c r="B8" s="7" t="s">
        <v>30</v>
      </c>
      <c r="C8" s="8" t="s">
        <v>14</v>
      </c>
      <c r="D8" s="8" t="s">
        <v>15</v>
      </c>
      <c r="E8" s="5" t="n">
        <v>5</v>
      </c>
      <c r="F8" s="5" t="n">
        <v>1</v>
      </c>
      <c r="G8" s="5" t="s">
        <v>16</v>
      </c>
      <c r="H8" s="8" t="s">
        <v>11</v>
      </c>
    </row>
    <row r="9" customFormat="false" ht="14.4" hidden="false" customHeight="false" outlineLevel="0" collapsed="false">
      <c r="A9" s="7" t="s">
        <v>31</v>
      </c>
      <c r="B9" s="7" t="s">
        <v>32</v>
      </c>
      <c r="C9" s="8" t="s">
        <v>14</v>
      </c>
      <c r="D9" s="8" t="s">
        <v>26</v>
      </c>
      <c r="E9" s="5" t="n">
        <v>8</v>
      </c>
      <c r="F9" s="5" t="n">
        <v>1</v>
      </c>
      <c r="G9" s="5" t="s">
        <v>16</v>
      </c>
      <c r="H9" s="8" t="s">
        <v>11</v>
      </c>
    </row>
    <row r="10" customFormat="false" ht="14.4" hidden="false" customHeight="false" outlineLevel="0" collapsed="false">
      <c r="A10" s="7" t="s">
        <v>33</v>
      </c>
      <c r="B10" s="7" t="s">
        <v>34</v>
      </c>
      <c r="C10" s="8" t="s">
        <v>14</v>
      </c>
      <c r="D10" s="8" t="s">
        <v>26</v>
      </c>
      <c r="E10" s="5" t="n">
        <v>8</v>
      </c>
      <c r="F10" s="5" t="n">
        <v>1</v>
      </c>
      <c r="G10" s="5" t="s">
        <v>16</v>
      </c>
      <c r="H10" s="8" t="s">
        <v>11</v>
      </c>
    </row>
    <row r="11" customFormat="false" ht="14.4" hidden="false" customHeight="false" outlineLevel="0" collapsed="false">
      <c r="A11" s="7" t="s">
        <v>35</v>
      </c>
      <c r="B11" s="7" t="s">
        <v>36</v>
      </c>
      <c r="C11" s="8" t="s">
        <v>14</v>
      </c>
      <c r="D11" s="8" t="s">
        <v>26</v>
      </c>
      <c r="E11" s="5" t="n">
        <v>8</v>
      </c>
      <c r="F11" s="5" t="n">
        <v>1</v>
      </c>
      <c r="G11" s="5" t="s">
        <v>16</v>
      </c>
      <c r="H11" s="8" t="s">
        <v>11</v>
      </c>
    </row>
    <row r="12" customFormat="false" ht="14.4" hidden="false" customHeight="false" outlineLevel="0" collapsed="false">
      <c r="A12" s="7" t="s">
        <v>37</v>
      </c>
      <c r="B12" s="7" t="s">
        <v>38</v>
      </c>
      <c r="C12" s="8" t="s">
        <v>14</v>
      </c>
      <c r="D12" s="8" t="s">
        <v>39</v>
      </c>
      <c r="E12" s="5" t="n">
        <v>13</v>
      </c>
      <c r="F12" s="5" t="n">
        <v>1</v>
      </c>
      <c r="G12" s="5" t="s">
        <v>16</v>
      </c>
      <c r="H12" s="8" t="s">
        <v>11</v>
      </c>
    </row>
    <row r="13" customFormat="false" ht="14.4" hidden="false" customHeight="false" outlineLevel="0" collapsed="false">
      <c r="A13" s="7" t="s">
        <v>40</v>
      </c>
      <c r="B13" s="7" t="s">
        <v>41</v>
      </c>
      <c r="C13" s="8" t="s">
        <v>14</v>
      </c>
      <c r="D13" s="8" t="s">
        <v>26</v>
      </c>
      <c r="E13" s="5" t="n">
        <v>8</v>
      </c>
      <c r="F13" s="5" t="n">
        <v>1</v>
      </c>
      <c r="G13" s="5" t="s">
        <v>16</v>
      </c>
      <c r="H13" s="8" t="s">
        <v>11</v>
      </c>
    </row>
    <row r="14" customFormat="false" ht="14.4" hidden="false" customHeight="false" outlineLevel="0" collapsed="false">
      <c r="A14" s="7" t="s">
        <v>42</v>
      </c>
      <c r="B14" s="7" t="s">
        <v>43</v>
      </c>
      <c r="C14" s="8" t="s">
        <v>44</v>
      </c>
      <c r="D14" s="8" t="s">
        <v>39</v>
      </c>
      <c r="E14" s="5" t="n">
        <v>13</v>
      </c>
      <c r="F14" s="5" t="n">
        <v>2</v>
      </c>
      <c r="G14" s="5" t="s">
        <v>16</v>
      </c>
      <c r="H14" s="8" t="s">
        <v>10</v>
      </c>
    </row>
    <row r="15" customFormat="false" ht="14.4" hidden="false" customHeight="false" outlineLevel="0" collapsed="false">
      <c r="A15" s="7" t="s">
        <v>45</v>
      </c>
      <c r="B15" s="7" t="s">
        <v>46</v>
      </c>
      <c r="C15" s="8" t="s">
        <v>47</v>
      </c>
      <c r="D15" s="8" t="s">
        <v>26</v>
      </c>
      <c r="E15" s="5" t="n">
        <v>8</v>
      </c>
      <c r="F15" s="5" t="n">
        <v>1</v>
      </c>
      <c r="G15" s="5" t="s">
        <v>16</v>
      </c>
      <c r="H15" s="8" t="s">
        <v>11</v>
      </c>
    </row>
    <row r="16" customFormat="false" ht="14.4" hidden="false" customHeight="false" outlineLevel="0" collapsed="false">
      <c r="A16" s="7" t="s">
        <v>48</v>
      </c>
      <c r="B16" s="7" t="s">
        <v>49</v>
      </c>
      <c r="C16" s="8" t="s">
        <v>14</v>
      </c>
      <c r="D16" s="8" t="s">
        <v>26</v>
      </c>
      <c r="E16" s="5" t="n">
        <v>8</v>
      </c>
      <c r="F16" s="5" t="n">
        <v>1</v>
      </c>
      <c r="G16" s="5" t="s">
        <v>16</v>
      </c>
      <c r="H16" s="8" t="s">
        <v>11</v>
      </c>
    </row>
    <row r="17" customFormat="false" ht="14.4" hidden="false" customHeight="false" outlineLevel="0" collapsed="false">
      <c r="A17" s="7" t="s">
        <v>50</v>
      </c>
      <c r="B17" s="7" t="s">
        <v>51</v>
      </c>
      <c r="C17" s="8" t="s">
        <v>14</v>
      </c>
      <c r="D17" s="8" t="s">
        <v>26</v>
      </c>
      <c r="E17" s="5" t="n">
        <v>8</v>
      </c>
      <c r="F17" s="5" t="n">
        <v>1</v>
      </c>
      <c r="G17" s="5" t="s">
        <v>16</v>
      </c>
      <c r="H17" s="8" t="s">
        <v>11</v>
      </c>
    </row>
    <row r="18" customFormat="false" ht="14.4" hidden="false" customHeight="false" outlineLevel="0" collapsed="false">
      <c r="A18" s="7" t="s">
        <v>52</v>
      </c>
      <c r="B18" s="7" t="s">
        <v>53</v>
      </c>
      <c r="C18" s="8" t="s">
        <v>14</v>
      </c>
      <c r="D18" s="8" t="s">
        <v>26</v>
      </c>
      <c r="E18" s="5" t="n">
        <v>8</v>
      </c>
      <c r="F18" s="5" t="n">
        <v>1</v>
      </c>
      <c r="G18" s="5" t="s">
        <v>16</v>
      </c>
      <c r="H18" s="8" t="s">
        <v>11</v>
      </c>
    </row>
    <row r="19" customFormat="false" ht="14.4" hidden="false" customHeight="false" outlineLevel="0" collapsed="false">
      <c r="A19" s="7" t="s">
        <v>54</v>
      </c>
      <c r="B19" s="7" t="s">
        <v>55</v>
      </c>
      <c r="C19" s="8" t="s">
        <v>14</v>
      </c>
      <c r="D19" s="8" t="s">
        <v>39</v>
      </c>
      <c r="E19" s="5" t="n">
        <v>13</v>
      </c>
      <c r="F19" s="5" t="n">
        <v>1</v>
      </c>
      <c r="G19" s="5" t="s">
        <v>16</v>
      </c>
      <c r="H19" s="8" t="s">
        <v>11</v>
      </c>
    </row>
  </sheetData>
  <dataValidations count="4">
    <dataValidation allowBlank="true" operator="between" showDropDown="false" showErrorMessage="true" showInputMessage="true" sqref="C3:C19" type="list">
      <formula1>'Lista - validações'!$D$2:$D$4</formula1>
      <formula2>0</formula2>
    </dataValidation>
    <dataValidation allowBlank="true" operator="between" showDropDown="false" showErrorMessage="true" showInputMessage="true" sqref="D3:D19" type="list">
      <formula1>'Lista - validações'!$A$2:$A$6</formula1>
      <formula2>0</formula2>
    </dataValidation>
    <dataValidation allowBlank="true" operator="between" showDropDown="false" showErrorMessage="true" showInputMessage="true" sqref="E3:E19" type="list">
      <formula1>'Lista - validações'!$B$2:$B$6</formula1>
      <formula2>0</formula2>
    </dataValidation>
    <dataValidation allowBlank="true" operator="between" showDropDown="false" showErrorMessage="true" showInputMessage="true" sqref="H3:H19" type="list">
      <formula1>'Lista - validações'!$C$2:$C$3</formula1>
      <formula2>0</formula2>
    </dataValidation>
  </dataValidations>
  <printOptions headings="false" gridLines="false" gridLinesSet="true" horizontalCentered="false" verticalCentered="false"/>
  <pageMargins left="0.511805555555555" right="0.511805555555555" top="0.7875" bottom="0.78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R19" activeCellId="0" sqref="R19"/>
    </sheetView>
  </sheetViews>
  <sheetFormatPr defaultColWidth="8.5390625" defaultRowHeight="14.4" zeroHeight="false" outlineLevelRow="0" outlineLevelCol="0"/>
  <cols>
    <col collapsed="false" customWidth="true" hidden="false" outlineLevel="0" max="1" min="1" style="0" width="9.55"/>
    <col collapsed="false" customWidth="true" hidden="false" outlineLevel="0" max="2" min="2" style="0" width="10.78"/>
    <col collapsed="false" customWidth="true" hidden="false" outlineLevel="0" max="3" min="3" style="0" width="9.88"/>
    <col collapsed="false" customWidth="true" hidden="false" outlineLevel="0" max="4" min="4" style="0" width="14.66"/>
  </cols>
  <sheetData>
    <row r="1" customFormat="false" ht="14.4" hidden="false" customHeight="false" outlineLevel="0" collapsed="false">
      <c r="A1" s="12" t="s">
        <v>3</v>
      </c>
      <c r="B1" s="12" t="s">
        <v>56</v>
      </c>
      <c r="C1" s="12" t="s">
        <v>7</v>
      </c>
      <c r="D1" s="12" t="s">
        <v>2</v>
      </c>
    </row>
    <row r="2" customFormat="false" ht="14.4" hidden="false" customHeight="false" outlineLevel="0" collapsed="false">
      <c r="A2" s="13" t="s">
        <v>22</v>
      </c>
      <c r="B2" s="13" t="n">
        <v>3</v>
      </c>
      <c r="C2" s="13" t="s">
        <v>10</v>
      </c>
      <c r="D2" s="14" t="s">
        <v>14</v>
      </c>
    </row>
    <row r="3" customFormat="false" ht="14.4" hidden="false" customHeight="false" outlineLevel="0" collapsed="false">
      <c r="A3" s="13" t="s">
        <v>15</v>
      </c>
      <c r="B3" s="13" t="n">
        <v>5</v>
      </c>
      <c r="C3" s="13" t="s">
        <v>11</v>
      </c>
      <c r="D3" s="14" t="s">
        <v>47</v>
      </c>
    </row>
    <row r="4" customFormat="false" ht="14.4" hidden="false" customHeight="false" outlineLevel="0" collapsed="false">
      <c r="A4" s="13" t="s">
        <v>26</v>
      </c>
      <c r="B4" s="13" t="n">
        <v>8</v>
      </c>
      <c r="C4" s="13"/>
      <c r="D4" s="14" t="s">
        <v>44</v>
      </c>
    </row>
    <row r="5" customFormat="false" ht="14.4" hidden="false" customHeight="false" outlineLevel="0" collapsed="false">
      <c r="A5" s="13" t="s">
        <v>39</v>
      </c>
      <c r="B5" s="13" t="n">
        <v>13</v>
      </c>
      <c r="C5" s="13"/>
      <c r="D5" s="14"/>
    </row>
    <row r="6" customFormat="false" ht="14.4" hidden="false" customHeight="false" outlineLevel="0" collapsed="false">
      <c r="A6" s="13" t="s">
        <v>57</v>
      </c>
      <c r="B6" s="13" t="n">
        <v>21</v>
      </c>
      <c r="C6" s="13"/>
      <c r="D6" s="14"/>
    </row>
    <row r="7" customFormat="false" ht="14.4" hidden="false" customHeight="false" outlineLevel="0" collapsed="false">
      <c r="A7" s="14"/>
      <c r="B7" s="14"/>
      <c r="C7" s="14"/>
      <c r="D7" s="14"/>
    </row>
    <row r="12" customFormat="false" ht="14.4" hidden="false" customHeight="false" outlineLevel="0" collapsed="false">
      <c r="A12" s="4" t="s">
        <v>17</v>
      </c>
      <c r="B12" s="4" t="s">
        <v>9</v>
      </c>
      <c r="C12" s="4" t="s">
        <v>10</v>
      </c>
    </row>
    <row r="13" customFormat="false" ht="14.4" hidden="false" customHeight="false" outlineLevel="0" collapsed="false">
      <c r="A13" s="15" t="s">
        <v>16</v>
      </c>
      <c r="B13" s="15" t="n">
        <f aca="false">Backlog!L4</f>
        <v>134</v>
      </c>
      <c r="C13" s="15" t="n">
        <f aca="false">Backlog!M4</f>
        <v>31</v>
      </c>
    </row>
  </sheetData>
  <printOptions headings="false" gridLines="false" gridLinesSet="true" horizontalCentered="false" verticalCentered="false"/>
  <pageMargins left="0.511805555555555" right="0.511805555555555" top="0.7875" bottom="0.78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2025-11-09T21:55:04Z</dcterms:created>
  <dc:creator>Wesley Daniel Oliveira Souza da Silva</dc:creator>
  <dc:description/>
  <dc:language>pt-BR</dc:language>
  <cp:lastModifiedBy/>
  <dcterms:modified xsi:type="dcterms:W3CDTF">2025-11-10T12:20:53Z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